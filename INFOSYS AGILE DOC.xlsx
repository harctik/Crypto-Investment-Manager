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ndh\Desktop\"/>
    </mc:Choice>
  </mc:AlternateContent>
  <xr:revisionPtr revIDLastSave="0" documentId="8_{DF6A6343-BE8F-49FE-9E50-221884B63B1A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sharedStrings.xml><?xml version="1.0" encoding="utf-8"?>
<sst xmlns="http://schemas.openxmlformats.org/spreadsheetml/2006/main" count="422" uniqueCount="256">
  <si>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</si>
  <si>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</si>
  <si>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</si>
  <si>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</si>
  <si>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</si>
  <si>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</si>
  <si>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</si>
  <si>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</si>
  <si>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US1</t>
  </si>
  <si>
    <t>Set up project environment: install dependencies (Flask, SQLite, CoinGecko SDK), initialise SQLite database with required tables (prices, portfolio, risk, predictions, mix_results)</t>
  </si>
  <si>
    <t>MUST HAVE</t>
  </si>
  <si>
    <t>—</t>
  </si>
  <si>
    <t>Group-1</t>
  </si>
  <si>
    <t>3- Completed</t>
  </si>
  <si>
    <t>US2</t>
  </si>
  <si>
    <t>Configure watchlist of 8 coins in config.py (BTC, ETH, BNB, SOL, ADA, XRP, MATIC, LINK) and connect to CoinGecko /coins/markets API to fetch live prices and store in DB</t>
  </si>
  <si>
    <t>US3</t>
  </si>
  <si>
    <t>Apply parallel execution using ThreadPoolExecutor to bulk-fetch live prices for all watchlist coins simultaneously and store snapshots in DB</t>
  </si>
  <si>
    <t>SHOULD HAVE</t>
  </si>
  <si>
    <t>US4</t>
  </si>
  <si>
    <t>Fetch and display CoinGecko trending coins; learn datetime module, NumPy operations, and pandas for data handling</t>
  </si>
  <si>
    <t>US5</t>
  </si>
  <si>
    <t>Load price history from DB, compute percentage returns per coin, run 1000 random weight iterations (Monte Carlo) to find best Sharpe ratio, best return, and lowest risk portfolio mixes</t>
  </si>
  <si>
    <t>US6</t>
  </si>
  <si>
    <t>Save winning mix results (weights, expected return, risk) to mix_results table in SQLite; fetch and display stored mixes</t>
  </si>
  <si>
    <t>US7</t>
  </si>
  <si>
    <t>Run the three mix strategies (best Sharpe, best return, lowest risk) in parallel using ThreadPoolExecutor and save all outputs to DB</t>
  </si>
  <si>
    <t>US8</t>
  </si>
  <si>
    <t>Compare portfolio mix returns vs individual single-asset returns; plot line graphs; export results to CSV in reports/ folder</t>
  </si>
  <si>
    <t>US9</t>
  </si>
  <si>
    <t>Prepare a .md documentation file summarising milestone 2 work: mix calculator logic, results, and insights</t>
  </si>
  <si>
    <t>US10</t>
  </si>
  <si>
    <t>Implement 6 risk rules per coin (volatility tier LOW/MEDIUM/HIGH, Sharpe ratio, max drawdown, mean return, momentum trend, MA signal); run checks in parallel; store results in risk_snapshots table; send email alert via SMTP/Resend when any coin breaches threshold</t>
  </si>
  <si>
    <t>US11</t>
  </si>
  <si>
    <t>Predict next-period price for each coin using linear regression (slope + intercept over price history) and moving average crossover; run predictions in parallel; save to predictions table; export CSV reports</t>
  </si>
  <si>
    <t>US12</t>
  </si>
  <si>
    <t>Implement portfolio spreading rules: max 40% / min 5% per coin allocation; drift detector with 10pp rebalance threshold; show BUY/SELL/HOLD actions; log rebalance events to DB</t>
  </si>
  <si>
    <t>US13</t>
  </si>
  <si>
    <t>Run MA-crossover backtesting strategy (golden cross BUY / death cross SELL) on historical price data; calculate total return, win rate, max drawdown per coin; display trade log and summary; stress test portfolio under bull (+30%), bear (-40%), flash crash (-20%) scenarios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</si>
  <si>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</si>
  <si>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</si>
  <si>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</si>
  <si>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</si>
  <si>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</si>
  <si>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</si>
  <si>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</si>
  <si>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</si>
  <si>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</si>
  <si>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</si>
  <si>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</si>
  <si>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</si>
  <si>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</si>
  <si>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</si>
  <si>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</si>
  <si>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</si>
  <si>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</si>
  <si>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</si>
  <si>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</si>
  <si>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</si>
  <si>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</si>
  <si>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</si>
  <si>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</si>
  <si>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Read project requirements, install Flask, SQLite3, CoinGecko API library; set up virtual environment and requirements.txt</t>
  </si>
  <si>
    <t>Build</t>
  </si>
  <si>
    <t>Design and initialise SQLite database schema: create prices, portfolio, mix_results, risk_snapshots, predictions, alerts, rebalance_log tables</t>
  </si>
  <si>
    <t>Coding</t>
  </si>
  <si>
    <t>Implement database.py: init_db(), save_price(), get_history(), get_prices() functions with CoinGecko API integration</t>
  </si>
  <si>
    <t>Configure config.py: define WATCHLIST (8 coins), API settings, CoinGecko endpoints, and all module configs (MIX, RISK, PREDICTION, SPREAD)</t>
  </si>
  <si>
    <t>Implement milestone1_setup.py: task_init_database(), task_show_watchlist(), task_parallel_fetch() — bulk fetch live prices for all 8 coins and store in DB</t>
  </si>
  <si>
    <t>Apply ThreadPoolExecutor parallel fetch — run simultaneous price fetch for all watchlist coins; validate data stored correctly in DB</t>
  </si>
  <si>
    <t>Implement task_trending() to fetch CoinGecko trending coins; explore NumPy operations on price arrays; learn pandas date handling</t>
  </si>
  <si>
    <t>Sprint 1 review — validate all DB tables populated, test CLI menu in main.py, fix issues identified in sprint evaluation</t>
  </si>
  <si>
    <t>Unit Test</t>
  </si>
  <si>
    <t>SPRINT  2  BACKLOG</t>
  </si>
  <si>
    <t>Implement task_load_returns(): load price history from DB, compute percentage returns per coin using _pct_returns()</t>
  </si>
  <si>
    <t>Implement task_run_mixes(): run 1000 Monte Carlo random weight iterations using _random_weights(); compute portfolio return, risk, Sharpe ratio with _portfolio_stats()</t>
  </si>
  <si>
    <t>Implement task_show_and_save(): display winning mixes (best Sharpe, best return, lowest risk) with coin weights; save results to mix_results table</t>
  </si>
  <si>
    <t>Implement database functions: save_mix(), get_mix_history(); verify mix data stored and fetchable from DB</t>
  </si>
  <si>
    <t>Extend mix calculation to run all three strategies (best Sharpe, best return, lowest risk) in parallel using ThreadPoolExecutor; save all outputs to DB</t>
  </si>
  <si>
    <t>Compare portfolio mix returns vs individual single-asset returns; plot line graphs using matplotlib; draw insights on diversification benefit</t>
  </si>
  <si>
    <t>Export comparison results to CSV in reports/ folder; validate CSV output format</t>
  </si>
  <si>
    <t>Sprint 2 evaluation and write milestone2.md documentation: describe mix calculator logic, Monte Carlo approach, results and key insights</t>
  </si>
  <si>
    <t>Others</t>
  </si>
  <si>
    <t>SPRINT  3  BACKLOG</t>
  </si>
  <si>
    <t>Implement coin_risk(): calculate volatility (pstdev), mean return, Sharpe ratio, max drawdown per coin; classify risk tier (LOW/MEDIUM/HIGH) using config.RISK thresholds</t>
  </si>
  <si>
    <t>Implement task_parallel_risk(): run coin_risk() for all 8 watchlist coins concurrently using ThreadPoolExecutor (4 workers); store results in risk_snapshots table</t>
  </si>
  <si>
    <t>Implement task_check_alerts(): detect coins with 24h price change &gt;= alert_threshold; save alerts to DB; implement task_send_email() via SMTP (Gmail) / Resend API</t>
  </si>
  <si>
    <t>Implement predict_coin(): _linear_regression() for slope/intercept on price history; _moving_average() for short (5) and long (15) window MA; _momentum_trend() and _ma_signal() for BUY/SELL/HOLD</t>
  </si>
  <si>
    <t>Implement task_run_predictions(): run predict_coin() in parallel for all coins; save predictions to DB; implement task_export_csv() to export prices, risk, predictions and alerts as timestamped CSV files</t>
  </si>
  <si>
    <t>SPRINT  4  BACKLOG</t>
  </si>
  <si>
    <t>Implement task_show_portfolio(): display current holdings with live prices, value, allocation %, P&amp;L%; implement task_enforce_rules(): flag coins exceeding max 40% or below min 5% allocation using config.SPREAD</t>
  </si>
  <si>
    <t>Implement task_rebalance(): detect allocation drift &gt; 10pp vs equal-weight target; output BUY/SELL/HOLD actions; log rebalance events to rebalance_log table in DB</t>
  </si>
  <si>
    <t>Implement backtest_coin(): MA crossover strategy — golden cross (short MA &gt; long MA) = BUY, death cross = SELL; track cash, holdings, equity curve, max drawdown, win rate per coin</t>
  </si>
  <si>
    <t>Implement task_stress_test(): simulate portfolio value under 3 market scenarios (bull +30%, bear -40%, flash crash -20%) using config.SPREAD['stress_scenarios']; display P&amp;L for each scenario</t>
  </si>
  <si>
    <t>Full system integration test: run main.py end-to-end across all milestones; fix bugs; prepare demo walkthrough for presentation</t>
  </si>
  <si>
    <t>Sprint</t>
  </si>
  <si>
    <t>Day</t>
  </si>
  <si>
    <t>Impediments</t>
  </si>
  <si>
    <t>Action Taken</t>
  </si>
  <si>
    <t>2nd Feb</t>
  </si>
  <si>
    <t>Understanding project structure, setting up virtual environment and installing dependencies (Flask, SQLite3, requests, python-dotenv)</t>
  </si>
  <si>
    <t>Created requirements.txt; virtual environment set up successfully; all packages installed</t>
  </si>
  <si>
    <t>3rd Feb</t>
  </si>
  <si>
    <t>Designing SQLite database schema — understanding what tables are needed (prices, portfolio, mix_results, risk_snapshots, predictions, alerts, rebalance_log)</t>
  </si>
  <si>
    <t>Database schema designed and init_db() implemented in database.py; all 7 tables created successfully</t>
  </si>
  <si>
    <t>4th Feb</t>
  </si>
  <si>
    <t>Connecting to CoinGecko /coins/markets API — understanding query params (vs_currency, ids, order) and handling rate limits</t>
  </si>
  <si>
    <t>get_prices() implemented; successfully fetched live prices for all 8 watchlist coins; data stored in prices table</t>
  </si>
  <si>
    <t>5th Feb</t>
  </si>
  <si>
    <t>Configuring config.py with all module settings — API keys, WATCHLIST, MIX, RISK, PREDICTION, SPREAD parameters</t>
  </si>
  <si>
    <t>config.py complete with all settings loaded from .env; WATCHLIST of 8 coins (BTC, ETH, BNB, SOL, ADA, XRP, MATIC, LINK) configured</t>
  </si>
  <si>
    <t>6th Feb</t>
  </si>
  <si>
    <t>Implementing milestone1_setup.py — task_init_database() and task_show_watchlist() tasks</t>
  </si>
  <si>
    <t>Both tasks working; database initialised; watchlist displaying correctly with API URL and rate-limit settings</t>
  </si>
  <si>
    <t>9th Feb</t>
  </si>
  <si>
    <t>Implementing parallel fetch using ThreadPoolExecutor — understanding concurrent.futures module</t>
  </si>
  <si>
    <t>task_parallel_fetch() implemented; all 8 coins fetched simultaneously; 24h change and price stored correctly in DB</t>
  </si>
  <si>
    <t>10th Feb</t>
  </si>
  <si>
    <t>Implementing task_trending() for CoinGecko trending coins; exploring NumPy array operations on price data</t>
  </si>
  <si>
    <t>Trending coins displayed; NumPy mean, pstdev operations tested on price arrays; pandas date handling explored</t>
  </si>
  <si>
    <t>11th Feb</t>
  </si>
  <si>
    <t>Milestone 1 class timing evaluation (5:30–6:30 PM)</t>
  </si>
  <si>
    <t>Feedback taken; fixed edge case in save_price() when price_change_percentage_24h is None; DB validated with all 8 coins stored</t>
  </si>
  <si>
    <t>12th Feb</t>
  </si>
  <si>
    <t>Sprint 1 evaluation — validating all tables, testing CLI main.py menu</t>
  </si>
  <si>
    <t>All DB tables populated correctly; main.py menu tested end-to-end; minor formatting fixes applied</t>
  </si>
  <si>
    <t>13th Feb</t>
  </si>
  <si>
    <t>Sprint 1 retrospection and introduction to Milestone 2 — Investment Mix Calculator concepts</t>
  </si>
  <si>
    <t>Understood Monte Carlo random weight approach; risk_free_rate and Sharpe ratio formula explained; Sprint 2 plan ready</t>
  </si>
  <si>
    <t>16th Feb</t>
  </si>
  <si>
    <t>Loading price history from DB and computing percentage returns — understanding _pct_returns() logic</t>
  </si>
  <si>
    <t>task_load_returns() implemented; percentage returns computed for all 8 coins; minimum history validation added</t>
  </si>
  <si>
    <t>17th Feb</t>
  </si>
  <si>
    <t>Implementing Monte Carlo random weight generation using _random_weights() with minimum weight constraint</t>
  </si>
  <si>
    <t>_random_weights() working with min_weight=0.05; uniform constraint validated; 1000 iterations running correctly</t>
  </si>
  <si>
    <t>18th Feb</t>
  </si>
  <si>
    <t>Implementing _portfolio_stats() to calculate portfolio return, risk (pstdev) and Sharpe ratio for each weight combination</t>
  </si>
  <si>
    <t>_portfolio_stats() correct; Sharpe ratio formula verified; best_sharpe, best_return, lowest_risk tracking implemented</t>
  </si>
  <si>
    <t>19th Feb</t>
  </si>
  <si>
    <t>Implementing task_show_and_save(): display and save winning mix results — best Sharpe, best return, lowest risk portfolios</t>
  </si>
  <si>
    <t>save_mix() in database.py implemented; winning mixes displaying with coin weights and stats; stored in mix_results table</t>
  </si>
  <si>
    <t>20th Feb</t>
  </si>
  <si>
    <t>Running all three mix strategies in parallel using ThreadPoolExecutor; ensuring thread-safe DB writes</t>
  </si>
  <si>
    <t>Parallel mix execution working; all 3 strategies running concurrently; DB writes validated with no race conditions</t>
  </si>
  <si>
    <t>23rd Feb</t>
  </si>
  <si>
    <t>Comparing portfolio mix return vs individual single-asset returns; plotting line graphs with matplotlib</t>
  </si>
  <si>
    <t>Comparison logic implemented; line graph plotted for portfolio vs 8 individual coins; diversification benefit visible</t>
  </si>
  <si>
    <t>24th Feb</t>
  </si>
  <si>
    <t>Milestone 2 evaluation (5:30–6:30 PM) — feedback on graph clarity and export format</t>
  </si>
  <si>
    <t>Feedback: plot only 30 data points for clarity; CSV export column names standardised; applied improvements</t>
  </si>
  <si>
    <t>25th Feb</t>
  </si>
  <si>
    <t>Exporting results to timestamped CSV in reports/ folder; writing milestone2.md documentation</t>
  </si>
  <si>
    <t>CSV export working for mix results and comparison data; milestone2.md drafted with logic explanation and insights</t>
  </si>
  <si>
    <t>27th Feb</t>
  </si>
  <si>
    <t>Sprint 2 evaluation and retrospection — review of all milestone 2 tasks</t>
  </si>
  <si>
    <t>All Sprint 2 tasks verified complete; Sprint 3 plan discussed — risk checker rules and prediction engine</t>
  </si>
  <si>
    <t>2nd Mar</t>
  </si>
  <si>
    <t>Understanding 6 risk metrics: volatility, mean return, Sharpe ratio, max drawdown, momentum trend, MA signal — and thresholds in config.RISK</t>
  </si>
  <si>
    <t>coin_risk() skeleton implemented; volatility (pstdev) and mean return computed; LOW/MEDIUM/HIGH tier logic added</t>
  </si>
  <si>
    <t>3rd Mar</t>
  </si>
  <si>
    <t>Implementing full coin_risk(): Sharpe ratio (mean_ret/vol), max drawdown calculation, risk tier classification</t>
  </si>
  <si>
    <t>coin_risk() complete; all 6 metrics computed correctly; results validated against manual calculations for BTC and ETH</t>
  </si>
  <si>
    <t>4th Mar</t>
  </si>
  <si>
    <t>Running risk checks in parallel using ThreadPoolExecutor (4 workers); storing results in risk_snapshots table</t>
  </si>
  <si>
    <t>task_parallel_risk() complete; 4 concurrent workers processing 8 coins; risk snapshots saved and queryable in DB</t>
  </si>
  <si>
    <t>5th Mar</t>
  </si>
  <si>
    <t>Implementing price alert detection — checking 24h change against alert_threshold; saving alerts to alerts table</t>
  </si>
  <si>
    <t>task_check_alerts() implemented; alert threshold 0.1% tested; database.save_alert() storing direction and message correctly</t>
  </si>
  <si>
    <t>6th Mar</t>
  </si>
  <si>
    <t>Implementing email alert via SMTP (Gmail) — MIMEText, starttls, SMTP login; testing with EMAIL_ENABLED flag</t>
  </si>
  <si>
    <t>Email sending working via Gmail SMTP; Resend API option also implemented; tested with mock alert data; .env config validated</t>
  </si>
  <si>
    <t>9th Mar</t>
  </si>
  <si>
    <t>Implementing _linear_regression() from scratch — slope and intercept formula on price history array</t>
  </si>
  <si>
    <t>Linear regression slope and intercept computed correctly; verified against scipy for 3 coins; linreg_forecast for 5 periods working</t>
  </si>
  <si>
    <t>10th Mar</t>
  </si>
  <si>
    <t>Implementing _moving_average(), _momentum_trend(), _ma_signal() — BUY/SELL/HOLD signal generation logic</t>
  </si>
  <si>
    <t>All 3 functions working; short MA (5) and long MA (15) windows tested; BULLISH/BEARISH/NEUTRAL trend correct on sample data</t>
  </si>
  <si>
    <t>11th Mar</t>
  </si>
  <si>
    <t>Milestone 3 evaluation (5:30–6:30 PM) — feedback on prediction accuracy and parallel execution</t>
  </si>
  <si>
    <t>Feedback: improve confidence_band calculation; fix edge case for coins with &lt; 15 price snapshots; applied fixes</t>
  </si>
  <si>
    <t>12th Mar</t>
  </si>
  <si>
    <t>Implementing task_run_predictions() in parallel; task_export_csv() generating timestamped CSV files for prices, risk, predictions, alerts</t>
  </si>
  <si>
    <t>Parallel prediction working for all 8 coins; 4 CSV files generated correctly in reports/; file naming validated</t>
  </si>
  <si>
    <t>13th Mar</t>
  </si>
  <si>
    <t>Sprint 3 evaluation and retrospection — review risk checker and predictor; Sprint 4 plan for spreading rules and backtesting</t>
  </si>
  <si>
    <t>All Sprint 3 tasks complete; spreading rules design discussed — max/min alloc, drift threshold, rebalance logic, stress scenarios</t>
  </si>
  <si>
    <t>16th Mar</t>
  </si>
  <si>
    <t>Implementing task_show_portfolio(): display holdings with live prices, value, allocation % and P&amp;L%; add demo positions if portfolio is empty</t>
  </si>
  <si>
    <t>task_show_portfolio() complete; P&amp;L calculation correct; _current_alloc() computing percentages correctly from live prices</t>
  </si>
  <si>
    <t>17th Mar</t>
  </si>
  <si>
    <t>Implementing task_enforce_rules(): flag coins exceeding max 40% or below min 5% allocation; generating REDUCE/INCREASE messages</t>
  </si>
  <si>
    <t>task_enforce_rules() working with config.SPREAD thresholds; demo portfolio tested with all 3 scenarios (OK, over-allocated, under-allocated)</t>
  </si>
  <si>
    <t>18th Mar</t>
  </si>
  <si>
    <t>Implementing task_rebalance(): drift detection vs equal-weight target; BUY/SELL/HOLD actions; log_rebalance() saving to rebalance_log table</t>
  </si>
  <si>
    <t>Drift detector working with 10pp threshold; rebalance actions logged to DB; equal-weight target for 8 coins (12.5% each) validated</t>
  </si>
  <si>
    <t>19th Mar</t>
  </si>
  <si>
    <t>Implementing backtest_coin(): MA crossover strategy — golden cross BUY signal, death cross SELL signal; tracking cash, holdings, equity curve</t>
  </si>
  <si>
    <t>backtest_coin() complete; golden cross and death cross logic verified on BTC history; equity curve, max drawdown, win rate computed</t>
  </si>
  <si>
    <t>20th Mar</t>
  </si>
  <si>
    <t>Implementing task_stress_test(): simulate portfolio under bull (+30%), bear (-40%), flash crash (-20%) scenarios; display P&amp;L for each</t>
  </si>
  <si>
    <t>Stress test working; 3 scenarios from config.SPREAD['stress_scenarios'] applied; P&amp;L in $ and % displayed correctly</t>
  </si>
  <si>
    <t>23rd Mar</t>
  </si>
  <si>
    <t>Full end-to-end integration test: run main.py across all 4 milestones; fix bugs; prepare demo walkthrough</t>
  </si>
  <si>
    <t>All milestones running cleanly in sequence; minor edge case fixed in milestone2 when DB has only 1 coin history; demo script prepared</t>
  </si>
  <si>
    <t>25th Mar</t>
  </si>
  <si>
    <t>Demo Presentation (5:30–6:30 PM) — full project demonstration to evaluators</t>
  </si>
  <si>
    <t>All 4 milestones demonstrated live; CoinGecko API, mix calculator, risk checker, predictor, spreading rules and backtest all presented</t>
  </si>
  <si>
    <t>27th Mar</t>
  </si>
  <si>
    <t>Mock Presentation (5:30–6:30 PM) — final rehearsal</t>
  </si>
  <si>
    <t>Presentation refined; focused on explaining project outcomes clearly without overloading on code; terminal demo polished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</si>
  <si>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</si>
  <si>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</si>
  <si>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</si>
  <si>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</si>
  <si>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</si>
  <si>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</si>
  <si>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</si>
  <si>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</si>
  <si>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</si>
  <si>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Sprint 1</t>
  </si>
  <si>
    <t>Use CoinGecko bulk /coins/markets endpoint instead of per-coin calls to avoid rate limit</t>
  </si>
  <si>
    <t>Continue with parallel fetch and DB storage approach</t>
  </si>
  <si>
    <t>Switched to bulk API call in get_prices(); rate-limit gap set to 2s in config; all 8 coins fetching cleanly</t>
  </si>
  <si>
    <t>Handle None values for price_change_percentage_24h before saving to DB</t>
  </si>
  <si>
    <t>Skipping null checks in save_price()</t>
  </si>
  <si>
    <t>Continue validating all API fields before DB insert</t>
  </si>
  <si>
    <t>Added null-safe handling in save_price(); DB inserts no longer fail on missing 24h change data</t>
  </si>
  <si>
    <t>Sprint 2</t>
  </si>
  <si>
    <t>Use minimum 2 coins with price history before running mix calculator</t>
  </si>
  <si>
    <t>Continue Monte Carlo random weight approach with 1000 iterations</t>
  </si>
  <si>
    <t>Added validation in task_run_mixes() to check len(returns) &gt;= 2 before proceeding</t>
  </si>
  <si>
    <t>Cap portfolio graph to 30 data points for clearer visualisation</t>
  </si>
  <si>
    <t>Plotting all data points making chart unreadable</t>
  </si>
  <si>
    <t>Continue comparing portfolio vs individual asset returns</t>
  </si>
  <si>
    <t>Updated plot to show last 30 snapshots; insights now clearly visible on the chart</t>
  </si>
  <si>
    <t>Standardise CSV export column names and add timestamp to filenames</t>
  </si>
  <si>
    <t>Inconsistent column naming in exported CSV files</t>
  </si>
  <si>
    <t>Continue exporting reports to reports/ folder</t>
  </si>
  <si>
    <t>CSV columns standardised; timestamp suffix (YYYYMMDD_HHMMSS) added to all export filenames</t>
  </si>
  <si>
    <t>Sprint 3</t>
  </si>
  <si>
    <t>Fix confidence_band to use residual pstdev instead of raw value; handle coins with insufficient history gracefully</t>
  </si>
  <si>
    <t>Using raw price pstdev for confidence band — incorrect methodology</t>
  </si>
  <si>
    <t>Continue parallel risk check with 4 ThreadPoolExecutor workers</t>
  </si>
  <si>
    <t>Confidence band now computed as ±pstdev of residuals (actual - predicted); edge case guard added for &lt; 15 snapshots</t>
  </si>
  <si>
    <t>Ensure EMAIL_ENABLED flag in .env is documented clearly in README for evaluators</t>
  </si>
  <si>
    <t>Email alerts silently failing when .env not configured</t>
  </si>
  <si>
    <t>Continue using both SMTP (Gmail) and Resend API options for email alerts</t>
  </si>
  <si>
    <t>README updated with EMAIL_ENABLED=true setup steps; .env.example added to repo</t>
  </si>
  <si>
    <t>Sprint 4</t>
  </si>
  <si>
    <t>Use _add_demo_positions() to populate portfolio before spreading rule tests when portfolio is empty</t>
  </si>
  <si>
    <t>Running spreading rules on empty portfolio causing division errors</t>
  </si>
  <si>
    <t>Continue using equal-weight target (100/n per coin) for rebalance drift detection</t>
  </si>
  <si>
    <t>Demo positions added in run() before task_show_portfolio(); portfolio never empty during evaluation</t>
  </si>
  <si>
    <t>Add milestone2 edge-case fix: skip mix calculation if only 1 coin has enough history</t>
  </si>
  <si>
    <t>Continue backtesting with MA crossover strategy (short=5, long=15)</t>
  </si>
  <si>
    <t>Guard added in run_milestone2() in main.py to check len(returns) &lt; 2 and print clear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</si>
</sst>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F99CC"/>
      </patternFill>
    </fill>
    <fill>
      <patternFill patternType="solid">
        <fgColor rgb="FFFFCC00"/>
        <bgColor rgb="FFFFFF00"/>
      </patternFill>
    </fill>
    <fill>
      <patternFill patternType="solid">
        <fgColor rgb="FFBFBFBF"/>
        <bgColor rgb="FFC2D69B"/>
      </patternFill>
    </fill>
    <fill>
      <patternFill patternType="solid">
        <fgColor rgb="FF99CC00"/>
        <bgColor rgb="FFFFCC00"/>
      </patternFill>
    </fill>
    <fill>
      <patternFill patternType="solid">
        <fgColor rgb="FFEAF1DD"/>
        <bgColor rgb="FFFFFFFF"/>
      </patternFill>
    </fill>
    <fill>
      <patternFill patternType="solid">
        <fgColor rgb="FFC2D69B"/>
        <bgColor rgb="FFBFBFBF"/>
      </patternFill>
    </fill>
    <fill>
      <patternFill patternType="solid">
        <fgColor rgb="FF92CDDC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6" borderId="1" xfId="0" applyFont="1" applyFill="1" applyBorder="1"/>
    <xf numFmtId="0" fontId="2" fillId="3" borderId="0" xfId="0" applyFont="1" applyFill="1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164" fontId="2" fillId="0" borderId="1" xfId="0" applyNumberFormat="1" applyFont="1" applyBorder="1" applyAlignment="1">
      <alignment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C2D69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zoomScaleNormal="100" workbookViewId="0">
      <selection activeCell="I8" sqref="I8"/>
    </sheetView>
  </sheetViews>
  <sheetFormatPr defaultColWidth="8.6640625" defaultRowHeight="14.25" x14ac:dyDescent="0.45"/>
  <cols>
    <col min="1" max="3" width="8" customWidth="1"/>
    <col min="4" max="4" width="70" customWidth="1"/>
    <col min="5" max="5" width="18.6640625" customWidth="1"/>
    <col min="6" max="6" width="13" customWidth="1"/>
    <col min="7" max="7" width="12" customWidth="1"/>
    <col min="8" max="8" width="18" customWidth="1"/>
  </cols>
  <sheetData>
    <row r="1" spans="1:8" ht="30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8.25" x14ac:dyDescent="0.45">
      <c r="A2" s="4">
        <v>1</v>
      </c>
      <c r="B2" s="4">
        <v>1</v>
      </c>
      <c r="C2" s="4" t="s">
        <v>8</v>
      </c>
      <c r="D2" s="4" t="s">
        <v>9</v>
      </c>
      <c r="E2" s="4" t="s">
        <v>10</v>
      </c>
      <c r="F2" s="5" t="s">
        <v>11</v>
      </c>
      <c r="G2" s="4" t="s">
        <v>12</v>
      </c>
      <c r="H2" s="4" t="s">
        <v>13</v>
      </c>
    </row>
    <row r="3" spans="1:8" ht="38.25" x14ac:dyDescent="0.45">
      <c r="A3" s="4">
        <v>1</v>
      </c>
      <c r="B3" s="4">
        <v>1</v>
      </c>
      <c r="C3" s="4" t="s">
        <v>14</v>
      </c>
      <c r="D3" s="4" t="s">
        <v>15</v>
      </c>
      <c r="E3" s="4" t="s">
        <v>10</v>
      </c>
      <c r="F3" s="5" t="s">
        <v>11</v>
      </c>
      <c r="G3" s="4" t="s">
        <v>12</v>
      </c>
      <c r="H3" s="4" t="s">
        <v>13</v>
      </c>
    </row>
    <row r="4" spans="1:8" ht="25.5" x14ac:dyDescent="0.45">
      <c r="A4" s="4">
        <v>1</v>
      </c>
      <c r="B4" s="4">
        <v>1</v>
      </c>
      <c r="C4" s="4" t="s">
        <v>16</v>
      </c>
      <c r="D4" s="4" t="s">
        <v>17</v>
      </c>
      <c r="E4" s="4" t="s">
        <v>18</v>
      </c>
      <c r="F4" s="5" t="s">
        <v>14</v>
      </c>
      <c r="G4" s="4" t="s">
        <v>12</v>
      </c>
      <c r="H4" s="4" t="s">
        <v>13</v>
      </c>
    </row>
    <row r="5" spans="1:8" ht="25.5" x14ac:dyDescent="0.45">
      <c r="A5" s="4">
        <v>1</v>
      </c>
      <c r="B5" s="4">
        <v>1</v>
      </c>
      <c r="C5" s="4" t="s">
        <v>19</v>
      </c>
      <c r="D5" s="4" t="s">
        <v>20</v>
      </c>
      <c r="E5" s="4" t="s">
        <v>18</v>
      </c>
      <c r="F5" s="5" t="s">
        <v>11</v>
      </c>
      <c r="G5" s="4" t="s">
        <v>12</v>
      </c>
      <c r="H5" s="4" t="s">
        <v>13</v>
      </c>
    </row>
    <row r="6" spans="1:8" ht="38.25" x14ac:dyDescent="0.45">
      <c r="A6" s="4">
        <v>2</v>
      </c>
      <c r="B6" s="4">
        <v>2</v>
      </c>
      <c r="C6" s="4" t="s">
        <v>21</v>
      </c>
      <c r="D6" s="4" t="s">
        <v>22</v>
      </c>
      <c r="E6" s="4" t="s">
        <v>10</v>
      </c>
      <c r="F6" s="5" t="s">
        <v>14</v>
      </c>
      <c r="G6" s="4" t="s">
        <v>12</v>
      </c>
      <c r="H6" s="4" t="s">
        <v>13</v>
      </c>
    </row>
    <row r="7" spans="1:8" ht="25.5" x14ac:dyDescent="0.45">
      <c r="A7" s="4">
        <v>2</v>
      </c>
      <c r="B7" s="4">
        <v>2</v>
      </c>
      <c r="C7" s="4" t="s">
        <v>23</v>
      </c>
      <c r="D7" s="4" t="s">
        <v>24</v>
      </c>
      <c r="E7" s="4" t="s">
        <v>18</v>
      </c>
      <c r="F7" s="5" t="s">
        <v>21</v>
      </c>
      <c r="G7" s="4" t="s">
        <v>12</v>
      </c>
      <c r="H7" s="4" t="s">
        <v>13</v>
      </c>
    </row>
    <row r="8" spans="1:8" ht="25.5" x14ac:dyDescent="0.45">
      <c r="A8" s="4">
        <v>2</v>
      </c>
      <c r="B8" s="4">
        <v>2</v>
      </c>
      <c r="C8" s="4" t="s">
        <v>25</v>
      </c>
      <c r="D8" s="4" t="s">
        <v>26</v>
      </c>
      <c r="E8" s="4" t="s">
        <v>18</v>
      </c>
      <c r="F8" s="5" t="s">
        <v>11</v>
      </c>
      <c r="G8" s="4" t="s">
        <v>12</v>
      </c>
      <c r="H8" s="4" t="s">
        <v>13</v>
      </c>
    </row>
    <row r="9" spans="1:8" ht="25.5" x14ac:dyDescent="0.45">
      <c r="A9" s="4">
        <v>2</v>
      </c>
      <c r="B9" s="4">
        <v>2</v>
      </c>
      <c r="C9" s="4" t="s">
        <v>27</v>
      </c>
      <c r="D9" s="4" t="s">
        <v>28</v>
      </c>
      <c r="E9" s="4" t="s">
        <v>10</v>
      </c>
      <c r="F9" s="5" t="s">
        <v>21</v>
      </c>
      <c r="G9" s="4" t="s">
        <v>12</v>
      </c>
      <c r="H9" s="4" t="s">
        <v>13</v>
      </c>
    </row>
    <row r="10" spans="1:8" ht="25.5" x14ac:dyDescent="0.45">
      <c r="A10" s="4">
        <v>2</v>
      </c>
      <c r="B10" s="4">
        <v>2</v>
      </c>
      <c r="C10" s="4" t="s">
        <v>29</v>
      </c>
      <c r="D10" s="4" t="s">
        <v>30</v>
      </c>
      <c r="E10" s="4" t="s">
        <v>18</v>
      </c>
      <c r="F10" s="5" t="s">
        <v>11</v>
      </c>
      <c r="G10" s="4" t="s">
        <v>12</v>
      </c>
      <c r="H10" s="4" t="s">
        <v>13</v>
      </c>
    </row>
    <row r="11" spans="1:8" ht="51" x14ac:dyDescent="0.45">
      <c r="A11" s="4">
        <v>3</v>
      </c>
      <c r="B11" s="4">
        <v>3</v>
      </c>
      <c r="C11" s="4" t="s">
        <v>31</v>
      </c>
      <c r="D11" s="4" t="s">
        <v>32</v>
      </c>
      <c r="E11" s="4" t="s">
        <v>10</v>
      </c>
      <c r="F11" s="5" t="s">
        <v>14</v>
      </c>
      <c r="G11" s="4" t="s">
        <v>12</v>
      </c>
      <c r="H11" s="4" t="s">
        <v>13</v>
      </c>
    </row>
    <row r="12" spans="1:8" ht="38.25" x14ac:dyDescent="0.45">
      <c r="A12" s="4">
        <v>3</v>
      </c>
      <c r="B12" s="4">
        <v>3</v>
      </c>
      <c r="C12" s="4" t="s">
        <v>33</v>
      </c>
      <c r="D12" s="4" t="s">
        <v>34</v>
      </c>
      <c r="E12" s="4" t="s">
        <v>10</v>
      </c>
      <c r="F12" s="5" t="s">
        <v>14</v>
      </c>
      <c r="G12" s="4" t="s">
        <v>12</v>
      </c>
      <c r="H12" s="4" t="s">
        <v>13</v>
      </c>
    </row>
    <row r="13" spans="1:8" ht="38.25" x14ac:dyDescent="0.45">
      <c r="A13" s="4">
        <v>4</v>
      </c>
      <c r="B13" s="4">
        <v>4</v>
      </c>
      <c r="C13" s="4" t="s">
        <v>35</v>
      </c>
      <c r="D13" s="4" t="s">
        <v>36</v>
      </c>
      <c r="E13" s="4" t="s">
        <v>10</v>
      </c>
      <c r="F13" s="5" t="s">
        <v>21</v>
      </c>
      <c r="G13" s="4" t="s">
        <v>12</v>
      </c>
      <c r="H13" s="4" t="s">
        <v>13</v>
      </c>
    </row>
    <row r="14" spans="1:8" ht="51" x14ac:dyDescent="0.45">
      <c r="A14" s="4">
        <v>4</v>
      </c>
      <c r="B14" s="4">
        <v>4</v>
      </c>
      <c r="C14" s="4" t="s">
        <v>37</v>
      </c>
      <c r="D14" s="4" t="s">
        <v>38</v>
      </c>
      <c r="E14" s="4" t="s">
        <v>10</v>
      </c>
      <c r="F14" s="5" t="s">
        <v>35</v>
      </c>
      <c r="G14" s="4" t="s">
        <v>12</v>
      </c>
      <c r="H14" s="4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3"/>
  <sheetViews>
    <sheetView tabSelected="1" zoomScaleNormal="100" workbookViewId="0">
      <selection sqref="A1:W1"/>
    </sheetView>
  </sheetViews>
  <sheetFormatPr defaultColWidth="8.6640625" defaultRowHeight="14.25" x14ac:dyDescent="0.45"/>
  <cols>
    <col min="1" max="1" width="10" customWidth="1"/>
    <col min="2" max="2" width="9" customWidth="1"/>
    <col min="3" max="3" width="55" customWidth="1"/>
    <col min="4" max="5" width="14" customWidth="1"/>
    <col min="6" max="6" width="11" customWidth="1"/>
    <col min="7" max="7" width="12" customWidth="1"/>
    <col min="8" max="8" width="14" customWidth="1"/>
    <col min="9" max="9" width="10" customWidth="1"/>
    <col min="10" max="23" width="6" customWidth="1"/>
  </cols>
  <sheetData>
    <row r="1" spans="1:23" x14ac:dyDescent="0.45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52.5" x14ac:dyDescent="0.45">
      <c r="A2" s="6" t="s">
        <v>2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7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54</v>
      </c>
      <c r="R2" s="6" t="s">
        <v>55</v>
      </c>
      <c r="S2" s="6" t="s">
        <v>56</v>
      </c>
      <c r="T2" s="6" t="s">
        <v>57</v>
      </c>
      <c r="U2" s="6" t="s">
        <v>58</v>
      </c>
      <c r="V2" s="6" t="s">
        <v>59</v>
      </c>
      <c r="W2" s="6" t="s">
        <v>60</v>
      </c>
    </row>
    <row r="3" spans="1:23" x14ac:dyDescent="0.45">
      <c r="I3" s="7">
        <f t="shared" ref="I3:W3" si="0">SUM(I5:I800)</f>
        <v>54</v>
      </c>
      <c r="J3" s="7">
        <f t="shared" si="0"/>
        <v>40</v>
      </c>
      <c r="K3" s="7">
        <f t="shared" si="0"/>
        <v>13</v>
      </c>
      <c r="L3" s="7">
        <f t="shared" si="0"/>
        <v>1</v>
      </c>
      <c r="M3" s="7">
        <f t="shared" si="0"/>
        <v>0</v>
      </c>
      <c r="N3" s="7">
        <f t="shared" si="0"/>
        <v>0</v>
      </c>
      <c r="O3" s="7">
        <f t="shared" si="0"/>
        <v>0</v>
      </c>
      <c r="P3" s="7">
        <f t="shared" si="0"/>
        <v>0</v>
      </c>
      <c r="Q3" s="7">
        <f t="shared" si="0"/>
        <v>0</v>
      </c>
      <c r="R3" s="7">
        <f t="shared" si="0"/>
        <v>0</v>
      </c>
      <c r="S3" s="7">
        <f t="shared" si="0"/>
        <v>0</v>
      </c>
      <c r="T3" s="7">
        <f t="shared" si="0"/>
        <v>0</v>
      </c>
      <c r="U3" s="7">
        <f t="shared" si="0"/>
        <v>0</v>
      </c>
      <c r="V3" s="7">
        <f t="shared" si="0"/>
        <v>0</v>
      </c>
      <c r="W3" s="7">
        <f t="shared" si="0"/>
        <v>0</v>
      </c>
    </row>
    <row r="4" spans="1:23" x14ac:dyDescent="0.45">
      <c r="A4" s="1" t="s">
        <v>61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5.5" x14ac:dyDescent="0.45">
      <c r="A5" s="4" t="s">
        <v>8</v>
      </c>
      <c r="B5" s="4">
        <v>1</v>
      </c>
      <c r="C5" s="4" t="s">
        <v>62</v>
      </c>
      <c r="D5" s="8">
        <v>46055</v>
      </c>
      <c r="E5" s="8">
        <v>46055</v>
      </c>
      <c r="F5" s="4" t="s">
        <v>12</v>
      </c>
      <c r="G5" s="4" t="s">
        <v>63</v>
      </c>
      <c r="H5" s="4" t="s">
        <v>13</v>
      </c>
      <c r="I5" s="4">
        <v>1</v>
      </c>
      <c r="J5" s="4">
        <v>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38.25" x14ac:dyDescent="0.45">
      <c r="A6" s="4" t="s">
        <v>8</v>
      </c>
      <c r="B6" s="4">
        <v>2</v>
      </c>
      <c r="C6" s="4" t="s">
        <v>64</v>
      </c>
      <c r="D6" s="8">
        <v>46056</v>
      </c>
      <c r="E6" s="8">
        <v>46056</v>
      </c>
      <c r="F6" s="4" t="s">
        <v>12</v>
      </c>
      <c r="G6" s="4" t="s">
        <v>65</v>
      </c>
      <c r="H6" s="4" t="s">
        <v>13</v>
      </c>
      <c r="I6" s="4">
        <v>2</v>
      </c>
      <c r="J6" s="4">
        <v>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25.5" x14ac:dyDescent="0.45">
      <c r="A7" s="4" t="s">
        <v>8</v>
      </c>
      <c r="B7" s="4">
        <v>3</v>
      </c>
      <c r="C7" s="4" t="s">
        <v>66</v>
      </c>
      <c r="D7" s="8">
        <v>46057</v>
      </c>
      <c r="E7" s="8">
        <v>46058</v>
      </c>
      <c r="F7" s="4" t="s">
        <v>12</v>
      </c>
      <c r="G7" s="4" t="s">
        <v>65</v>
      </c>
      <c r="H7" s="4" t="s">
        <v>13</v>
      </c>
      <c r="I7" s="4">
        <v>3</v>
      </c>
      <c r="J7" s="4">
        <v>2</v>
      </c>
      <c r="K7" s="4">
        <v>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38.25" x14ac:dyDescent="0.45">
      <c r="A8" s="4" t="s">
        <v>14</v>
      </c>
      <c r="B8" s="4">
        <v>4</v>
      </c>
      <c r="C8" s="4" t="s">
        <v>67</v>
      </c>
      <c r="D8" s="8">
        <v>46058</v>
      </c>
      <c r="E8" s="8">
        <v>46059</v>
      </c>
      <c r="F8" s="4" t="s">
        <v>12</v>
      </c>
      <c r="G8" s="4" t="s">
        <v>65</v>
      </c>
      <c r="H8" s="4" t="s">
        <v>13</v>
      </c>
      <c r="I8" s="4">
        <v>2</v>
      </c>
      <c r="J8" s="4">
        <v>1</v>
      </c>
      <c r="K8" s="4">
        <v>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38.25" x14ac:dyDescent="0.45">
      <c r="A9" s="4" t="s">
        <v>14</v>
      </c>
      <c r="B9" s="4">
        <v>5</v>
      </c>
      <c r="C9" s="4" t="s">
        <v>68</v>
      </c>
      <c r="D9" s="8">
        <v>46062</v>
      </c>
      <c r="E9" s="8">
        <v>46063</v>
      </c>
      <c r="F9" s="4" t="s">
        <v>12</v>
      </c>
      <c r="G9" s="4" t="s">
        <v>65</v>
      </c>
      <c r="H9" s="4" t="s">
        <v>13</v>
      </c>
      <c r="I9" s="4">
        <v>3</v>
      </c>
      <c r="J9" s="4">
        <v>2</v>
      </c>
      <c r="K9" s="4">
        <v>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25.5" x14ac:dyDescent="0.45">
      <c r="A10" s="4" t="s">
        <v>16</v>
      </c>
      <c r="B10" s="4">
        <v>6</v>
      </c>
      <c r="C10" s="4" t="s">
        <v>69</v>
      </c>
      <c r="D10" s="8">
        <v>46063</v>
      </c>
      <c r="E10" s="8">
        <v>46064</v>
      </c>
      <c r="F10" s="4" t="s">
        <v>12</v>
      </c>
      <c r="G10" s="4" t="s">
        <v>65</v>
      </c>
      <c r="H10" s="4" t="s">
        <v>13</v>
      </c>
      <c r="I10" s="4">
        <v>2</v>
      </c>
      <c r="J10" s="4">
        <v>1</v>
      </c>
      <c r="K10" s="4">
        <v>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38.25" x14ac:dyDescent="0.45">
      <c r="A11" s="4" t="s">
        <v>19</v>
      </c>
      <c r="B11" s="4">
        <v>7</v>
      </c>
      <c r="C11" s="4" t="s">
        <v>70</v>
      </c>
      <c r="D11" s="8">
        <v>46065</v>
      </c>
      <c r="E11" s="8">
        <v>46065</v>
      </c>
      <c r="F11" s="4" t="s">
        <v>12</v>
      </c>
      <c r="G11" s="4" t="s">
        <v>63</v>
      </c>
      <c r="H11" s="4" t="s">
        <v>13</v>
      </c>
      <c r="I11" s="4">
        <v>1</v>
      </c>
      <c r="J11" s="4">
        <v>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25.5" x14ac:dyDescent="0.45">
      <c r="A12" s="4" t="s">
        <v>19</v>
      </c>
      <c r="B12" s="4">
        <v>8</v>
      </c>
      <c r="C12" s="4" t="s">
        <v>71</v>
      </c>
      <c r="D12" s="8">
        <v>46066</v>
      </c>
      <c r="E12" s="8">
        <v>46066</v>
      </c>
      <c r="F12" s="4" t="s">
        <v>12</v>
      </c>
      <c r="G12" s="4" t="s">
        <v>72</v>
      </c>
      <c r="H12" s="4" t="s">
        <v>13</v>
      </c>
      <c r="I12" s="4">
        <v>1</v>
      </c>
      <c r="J12" s="4">
        <v>1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45">
      <c r="A13" s="1" t="s">
        <v>73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5.5" x14ac:dyDescent="0.45">
      <c r="A14" s="4" t="s">
        <v>21</v>
      </c>
      <c r="B14" s="4">
        <v>1</v>
      </c>
      <c r="C14" s="4" t="s">
        <v>74</v>
      </c>
      <c r="D14" s="8">
        <v>46069</v>
      </c>
      <c r="E14" s="8">
        <v>46069</v>
      </c>
      <c r="F14" s="4" t="s">
        <v>12</v>
      </c>
      <c r="G14" s="4" t="s">
        <v>65</v>
      </c>
      <c r="H14" s="4" t="s">
        <v>13</v>
      </c>
      <c r="I14" s="4">
        <v>1</v>
      </c>
      <c r="J14" s="4">
        <v>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38.25" x14ac:dyDescent="0.45">
      <c r="A15" s="4" t="s">
        <v>21</v>
      </c>
      <c r="B15" s="4">
        <v>2</v>
      </c>
      <c r="C15" s="4" t="s">
        <v>75</v>
      </c>
      <c r="D15" s="8">
        <v>46070</v>
      </c>
      <c r="E15" s="8">
        <v>46071</v>
      </c>
      <c r="F15" s="4" t="s">
        <v>12</v>
      </c>
      <c r="G15" s="4" t="s">
        <v>65</v>
      </c>
      <c r="H15" s="4" t="s">
        <v>13</v>
      </c>
      <c r="I15" s="4">
        <v>3</v>
      </c>
      <c r="J15" s="4">
        <v>2</v>
      </c>
      <c r="K15" s="4">
        <v>1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38.25" x14ac:dyDescent="0.45">
      <c r="A16" s="4" t="s">
        <v>21</v>
      </c>
      <c r="B16" s="4">
        <v>3</v>
      </c>
      <c r="C16" s="4" t="s">
        <v>76</v>
      </c>
      <c r="D16" s="8">
        <v>46072</v>
      </c>
      <c r="E16" s="8">
        <v>46072</v>
      </c>
      <c r="F16" s="4" t="s">
        <v>12</v>
      </c>
      <c r="G16" s="4" t="s">
        <v>65</v>
      </c>
      <c r="H16" s="4" t="s">
        <v>13</v>
      </c>
      <c r="I16" s="4">
        <v>2</v>
      </c>
      <c r="J16" s="4">
        <v>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25.5" x14ac:dyDescent="0.45">
      <c r="A17" s="4" t="s">
        <v>23</v>
      </c>
      <c r="B17" s="4">
        <v>4</v>
      </c>
      <c r="C17" s="4" t="s">
        <v>77</v>
      </c>
      <c r="D17" s="8">
        <v>46073</v>
      </c>
      <c r="E17" s="8">
        <v>46073</v>
      </c>
      <c r="F17" s="4" t="s">
        <v>12</v>
      </c>
      <c r="G17" s="4" t="s">
        <v>65</v>
      </c>
      <c r="H17" s="4" t="s">
        <v>13</v>
      </c>
      <c r="I17" s="4">
        <v>1</v>
      </c>
      <c r="J17" s="4">
        <v>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38.25" x14ac:dyDescent="0.45">
      <c r="A18" s="4" t="s">
        <v>25</v>
      </c>
      <c r="B18" s="4">
        <v>5</v>
      </c>
      <c r="C18" s="4" t="s">
        <v>78</v>
      </c>
      <c r="D18" s="8">
        <v>46076</v>
      </c>
      <c r="E18" s="8">
        <v>46076</v>
      </c>
      <c r="F18" s="4" t="s">
        <v>12</v>
      </c>
      <c r="G18" s="4" t="s">
        <v>65</v>
      </c>
      <c r="H18" s="4" t="s">
        <v>13</v>
      </c>
      <c r="I18" s="4">
        <v>2</v>
      </c>
      <c r="J18" s="4">
        <v>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38.25" x14ac:dyDescent="0.45">
      <c r="A19" s="4" t="s">
        <v>27</v>
      </c>
      <c r="B19" s="4">
        <v>6</v>
      </c>
      <c r="C19" s="4" t="s">
        <v>79</v>
      </c>
      <c r="D19" s="8">
        <v>46077</v>
      </c>
      <c r="E19" s="8">
        <v>46078</v>
      </c>
      <c r="F19" s="4" t="s">
        <v>12</v>
      </c>
      <c r="G19" s="4" t="s">
        <v>65</v>
      </c>
      <c r="H19" s="4" t="s">
        <v>13</v>
      </c>
      <c r="I19" s="4">
        <v>3</v>
      </c>
      <c r="J19" s="4">
        <v>2</v>
      </c>
      <c r="K19" s="4">
        <v>1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25.5" x14ac:dyDescent="0.45">
      <c r="A20" s="4" t="s">
        <v>27</v>
      </c>
      <c r="B20" s="4">
        <v>7</v>
      </c>
      <c r="C20" s="4" t="s">
        <v>80</v>
      </c>
      <c r="D20" s="8">
        <v>46078</v>
      </c>
      <c r="E20" s="8">
        <v>46078</v>
      </c>
      <c r="F20" s="4" t="s">
        <v>12</v>
      </c>
      <c r="G20" s="4" t="s">
        <v>65</v>
      </c>
      <c r="H20" s="4" t="s">
        <v>13</v>
      </c>
      <c r="I20" s="4">
        <v>1</v>
      </c>
      <c r="J20" s="4">
        <v>1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38.25" x14ac:dyDescent="0.45">
      <c r="A21" s="4" t="s">
        <v>29</v>
      </c>
      <c r="B21" s="4">
        <v>8</v>
      </c>
      <c r="C21" s="4" t="s">
        <v>81</v>
      </c>
      <c r="D21" s="8">
        <v>46080</v>
      </c>
      <c r="E21" s="8">
        <v>46080</v>
      </c>
      <c r="F21" s="4" t="s">
        <v>12</v>
      </c>
      <c r="G21" s="4" t="s">
        <v>82</v>
      </c>
      <c r="H21" s="4" t="s">
        <v>13</v>
      </c>
      <c r="I21" s="4">
        <v>1</v>
      </c>
      <c r="J21" s="4">
        <v>1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45">
      <c r="A22" s="1" t="s">
        <v>83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38.25" x14ac:dyDescent="0.45">
      <c r="A23" s="4" t="s">
        <v>31</v>
      </c>
      <c r="B23" s="4">
        <v>1</v>
      </c>
      <c r="C23" s="4" t="s">
        <v>84</v>
      </c>
      <c r="D23" s="8">
        <v>46083</v>
      </c>
      <c r="E23" s="8">
        <v>46084</v>
      </c>
      <c r="F23" s="4" t="s">
        <v>12</v>
      </c>
      <c r="G23" s="4" t="s">
        <v>65</v>
      </c>
      <c r="H23" s="4" t="s">
        <v>13</v>
      </c>
      <c r="I23" s="4">
        <v>3</v>
      </c>
      <c r="J23" s="4">
        <v>2</v>
      </c>
      <c r="K23" s="4">
        <v>1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38.25" x14ac:dyDescent="0.45">
      <c r="A24" s="4" t="s">
        <v>31</v>
      </c>
      <c r="B24" s="4">
        <v>2</v>
      </c>
      <c r="C24" s="4" t="s">
        <v>85</v>
      </c>
      <c r="D24" s="8">
        <v>46085</v>
      </c>
      <c r="E24" s="8">
        <v>46085</v>
      </c>
      <c r="F24" s="4" t="s">
        <v>12</v>
      </c>
      <c r="G24" s="4" t="s">
        <v>65</v>
      </c>
      <c r="H24" s="4" t="s">
        <v>13</v>
      </c>
      <c r="I24" s="4">
        <v>2</v>
      </c>
      <c r="J24" s="4">
        <v>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38.25" x14ac:dyDescent="0.45">
      <c r="A25" s="4" t="s">
        <v>31</v>
      </c>
      <c r="B25" s="4">
        <v>3</v>
      </c>
      <c r="C25" s="4" t="s">
        <v>86</v>
      </c>
      <c r="D25" s="8">
        <v>46086</v>
      </c>
      <c r="E25" s="8">
        <v>46087</v>
      </c>
      <c r="F25" s="4" t="s">
        <v>12</v>
      </c>
      <c r="G25" s="4" t="s">
        <v>65</v>
      </c>
      <c r="H25" s="4" t="s">
        <v>13</v>
      </c>
      <c r="I25" s="4">
        <v>2</v>
      </c>
      <c r="J25" s="4">
        <v>1</v>
      </c>
      <c r="K25" s="4">
        <v>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51" x14ac:dyDescent="0.45">
      <c r="A26" s="4" t="s">
        <v>33</v>
      </c>
      <c r="B26" s="4">
        <v>4</v>
      </c>
      <c r="C26" s="4" t="s">
        <v>87</v>
      </c>
      <c r="D26" s="8">
        <v>46090</v>
      </c>
      <c r="E26" s="8">
        <v>46092</v>
      </c>
      <c r="F26" s="4" t="s">
        <v>12</v>
      </c>
      <c r="G26" s="4" t="s">
        <v>65</v>
      </c>
      <c r="H26" s="4" t="s">
        <v>13</v>
      </c>
      <c r="I26" s="4">
        <v>4</v>
      </c>
      <c r="J26" s="4">
        <v>2</v>
      </c>
      <c r="K26" s="4">
        <v>1</v>
      </c>
      <c r="L26" s="4">
        <v>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51" x14ac:dyDescent="0.45">
      <c r="A27" s="4" t="s">
        <v>33</v>
      </c>
      <c r="B27" s="4">
        <v>5</v>
      </c>
      <c r="C27" s="4" t="s">
        <v>88</v>
      </c>
      <c r="D27" s="8">
        <v>46093</v>
      </c>
      <c r="E27" s="8">
        <v>46094</v>
      </c>
      <c r="F27" s="4" t="s">
        <v>12</v>
      </c>
      <c r="G27" s="4" t="s">
        <v>65</v>
      </c>
      <c r="H27" s="4" t="s">
        <v>13</v>
      </c>
      <c r="I27" s="4">
        <v>2</v>
      </c>
      <c r="J27" s="4">
        <v>1</v>
      </c>
      <c r="K27" s="4">
        <v>1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45">
      <c r="A28" s="1" t="s">
        <v>89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51" x14ac:dyDescent="0.45">
      <c r="A29" s="4" t="s">
        <v>35</v>
      </c>
      <c r="B29" s="4">
        <v>1</v>
      </c>
      <c r="C29" s="4" t="s">
        <v>90</v>
      </c>
      <c r="D29" s="8">
        <v>46097</v>
      </c>
      <c r="E29" s="8">
        <v>46098</v>
      </c>
      <c r="F29" s="4" t="s">
        <v>12</v>
      </c>
      <c r="G29" s="4" t="s">
        <v>65</v>
      </c>
      <c r="H29" s="4" t="s">
        <v>13</v>
      </c>
      <c r="I29" s="4">
        <v>3</v>
      </c>
      <c r="J29" s="4">
        <v>2</v>
      </c>
      <c r="K29" s="4">
        <v>1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38.25" x14ac:dyDescent="0.45">
      <c r="A30" s="4" t="s">
        <v>35</v>
      </c>
      <c r="B30" s="4">
        <v>2</v>
      </c>
      <c r="C30" s="4" t="s">
        <v>91</v>
      </c>
      <c r="D30" s="8">
        <v>46099</v>
      </c>
      <c r="E30" s="8">
        <v>46099</v>
      </c>
      <c r="F30" s="4" t="s">
        <v>12</v>
      </c>
      <c r="G30" s="4" t="s">
        <v>65</v>
      </c>
      <c r="H30" s="4" t="s">
        <v>13</v>
      </c>
      <c r="I30" s="4">
        <v>2</v>
      </c>
      <c r="J30" s="4">
        <v>2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38.25" x14ac:dyDescent="0.45">
      <c r="A31" s="4" t="s">
        <v>37</v>
      </c>
      <c r="B31" s="4">
        <v>3</v>
      </c>
      <c r="C31" s="4" t="s">
        <v>92</v>
      </c>
      <c r="D31" s="8">
        <v>46100</v>
      </c>
      <c r="E31" s="8">
        <v>46101</v>
      </c>
      <c r="F31" s="4" t="s">
        <v>12</v>
      </c>
      <c r="G31" s="4" t="s">
        <v>65</v>
      </c>
      <c r="H31" s="4" t="s">
        <v>13</v>
      </c>
      <c r="I31" s="4">
        <v>3</v>
      </c>
      <c r="J31" s="4">
        <v>2</v>
      </c>
      <c r="K31" s="4">
        <v>1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38.25" x14ac:dyDescent="0.45">
      <c r="A32" s="4" t="s">
        <v>37</v>
      </c>
      <c r="B32" s="4">
        <v>4</v>
      </c>
      <c r="C32" s="4" t="s">
        <v>93</v>
      </c>
      <c r="D32" s="8">
        <v>46101</v>
      </c>
      <c r="E32" s="8">
        <v>46101</v>
      </c>
      <c r="F32" s="4" t="s">
        <v>12</v>
      </c>
      <c r="G32" s="4" t="s">
        <v>65</v>
      </c>
      <c r="H32" s="4" t="s">
        <v>13</v>
      </c>
      <c r="I32" s="4">
        <v>2</v>
      </c>
      <c r="J32" s="4">
        <v>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25.5" x14ac:dyDescent="0.45">
      <c r="A33" s="4" t="s">
        <v>37</v>
      </c>
      <c r="B33" s="4">
        <v>5</v>
      </c>
      <c r="C33" s="4" t="s">
        <v>94</v>
      </c>
      <c r="D33" s="8">
        <v>46104</v>
      </c>
      <c r="E33" s="8">
        <v>46105</v>
      </c>
      <c r="F33" s="4" t="s">
        <v>12</v>
      </c>
      <c r="G33" s="4" t="s">
        <v>72</v>
      </c>
      <c r="H33" s="4" t="s">
        <v>13</v>
      </c>
      <c r="I33" s="4">
        <v>2</v>
      </c>
      <c r="J33" s="4">
        <v>1</v>
      </c>
      <c r="K33" s="4">
        <v>1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</sheetData>
  <mergeCells count="5">
    <mergeCell ref="A1:W1"/>
    <mergeCell ref="A4:W4"/>
    <mergeCell ref="A13:W13"/>
    <mergeCell ref="A22:W22"/>
    <mergeCell ref="A28:W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zoomScaleNormal="100" workbookViewId="0"/>
  </sheetViews>
  <sheetFormatPr defaultColWidth="8.6640625" defaultRowHeight="14.25" x14ac:dyDescent="0.45"/>
  <cols>
    <col min="1" max="1" width="8" customWidth="1"/>
    <col min="2" max="2" width="14" customWidth="1"/>
    <col min="3" max="4" width="52" customWidth="1"/>
  </cols>
  <sheetData>
    <row r="1" spans="1:4" ht="19.5" customHeight="1" x14ac:dyDescent="0.45">
      <c r="A1" s="9" t="s">
        <v>95</v>
      </c>
      <c r="B1" s="9" t="s">
        <v>96</v>
      </c>
      <c r="C1" s="9" t="s">
        <v>97</v>
      </c>
      <c r="D1" s="9" t="s">
        <v>98</v>
      </c>
    </row>
    <row r="2" spans="1:4" ht="38.25" x14ac:dyDescent="0.45">
      <c r="A2" s="4">
        <v>1</v>
      </c>
      <c r="B2" s="4" t="s">
        <v>99</v>
      </c>
      <c r="C2" s="4" t="s">
        <v>100</v>
      </c>
      <c r="D2" s="4" t="s">
        <v>101</v>
      </c>
    </row>
    <row r="3" spans="1:4" ht="38.25" x14ac:dyDescent="0.45">
      <c r="A3" s="4">
        <v>1</v>
      </c>
      <c r="B3" s="4" t="s">
        <v>102</v>
      </c>
      <c r="C3" s="4" t="s">
        <v>103</v>
      </c>
      <c r="D3" s="4" t="s">
        <v>104</v>
      </c>
    </row>
    <row r="4" spans="1:4" ht="38.25" x14ac:dyDescent="0.45">
      <c r="A4" s="4">
        <v>1</v>
      </c>
      <c r="B4" s="4" t="s">
        <v>105</v>
      </c>
      <c r="C4" s="4" t="s">
        <v>106</v>
      </c>
      <c r="D4" s="4" t="s">
        <v>107</v>
      </c>
    </row>
    <row r="5" spans="1:4" ht="38.25" x14ac:dyDescent="0.45">
      <c r="A5" s="4">
        <v>1</v>
      </c>
      <c r="B5" s="4" t="s">
        <v>108</v>
      </c>
      <c r="C5" s="4" t="s">
        <v>109</v>
      </c>
      <c r="D5" s="4" t="s">
        <v>110</v>
      </c>
    </row>
    <row r="6" spans="1:4" ht="25.5" x14ac:dyDescent="0.45">
      <c r="A6" s="4">
        <v>1</v>
      </c>
      <c r="B6" s="4" t="s">
        <v>111</v>
      </c>
      <c r="C6" s="4" t="s">
        <v>112</v>
      </c>
      <c r="D6" s="4" t="s">
        <v>113</v>
      </c>
    </row>
    <row r="7" spans="1:4" ht="25.5" x14ac:dyDescent="0.45">
      <c r="A7" s="4">
        <v>1</v>
      </c>
      <c r="B7" s="4" t="s">
        <v>114</v>
      </c>
      <c r="C7" s="4" t="s">
        <v>115</v>
      </c>
      <c r="D7" s="4" t="s">
        <v>116</v>
      </c>
    </row>
    <row r="8" spans="1:4" ht="25.5" x14ac:dyDescent="0.45">
      <c r="A8" s="4">
        <v>1</v>
      </c>
      <c r="B8" s="4" t="s">
        <v>117</v>
      </c>
      <c r="C8" s="4" t="s">
        <v>118</v>
      </c>
      <c r="D8" s="4" t="s">
        <v>119</v>
      </c>
    </row>
    <row r="9" spans="1:4" ht="38.25" x14ac:dyDescent="0.45">
      <c r="A9" s="4">
        <v>1</v>
      </c>
      <c r="B9" s="4" t="s">
        <v>120</v>
      </c>
      <c r="C9" s="4" t="s">
        <v>121</v>
      </c>
      <c r="D9" s="4" t="s">
        <v>122</v>
      </c>
    </row>
    <row r="10" spans="1:4" ht="25.5" x14ac:dyDescent="0.45">
      <c r="A10" s="4">
        <v>1</v>
      </c>
      <c r="B10" s="4" t="s">
        <v>123</v>
      </c>
      <c r="C10" s="4" t="s">
        <v>124</v>
      </c>
      <c r="D10" s="4" t="s">
        <v>125</v>
      </c>
    </row>
    <row r="11" spans="1:4" ht="38.25" x14ac:dyDescent="0.45">
      <c r="A11" s="4">
        <v>1</v>
      </c>
      <c r="B11" s="4" t="s">
        <v>126</v>
      </c>
      <c r="C11" s="4" t="s">
        <v>127</v>
      </c>
      <c r="D11" s="4" t="s">
        <v>128</v>
      </c>
    </row>
    <row r="12" spans="1:4" ht="25.5" x14ac:dyDescent="0.45">
      <c r="A12" s="4">
        <v>2</v>
      </c>
      <c r="B12" s="4" t="s">
        <v>129</v>
      </c>
      <c r="C12" s="4" t="s">
        <v>130</v>
      </c>
      <c r="D12" s="4" t="s">
        <v>131</v>
      </c>
    </row>
    <row r="13" spans="1:4" ht="25.5" x14ac:dyDescent="0.45">
      <c r="A13" s="4">
        <v>2</v>
      </c>
      <c r="B13" s="4" t="s">
        <v>132</v>
      </c>
      <c r="C13" s="4" t="s">
        <v>133</v>
      </c>
      <c r="D13" s="4" t="s">
        <v>134</v>
      </c>
    </row>
    <row r="14" spans="1:4" ht="25.5" x14ac:dyDescent="0.45">
      <c r="A14" s="4">
        <v>2</v>
      </c>
      <c r="B14" s="4" t="s">
        <v>135</v>
      </c>
      <c r="C14" s="4" t="s">
        <v>136</v>
      </c>
      <c r="D14" s="4" t="s">
        <v>137</v>
      </c>
    </row>
    <row r="15" spans="1:4" ht="38.25" x14ac:dyDescent="0.45">
      <c r="A15" s="4">
        <v>2</v>
      </c>
      <c r="B15" s="4" t="s">
        <v>138</v>
      </c>
      <c r="C15" s="4" t="s">
        <v>139</v>
      </c>
      <c r="D15" s="4" t="s">
        <v>140</v>
      </c>
    </row>
    <row r="16" spans="1:4" ht="25.5" x14ac:dyDescent="0.45">
      <c r="A16" s="4">
        <v>2</v>
      </c>
      <c r="B16" s="4" t="s">
        <v>141</v>
      </c>
      <c r="C16" s="4" t="s">
        <v>142</v>
      </c>
      <c r="D16" s="4" t="s">
        <v>143</v>
      </c>
    </row>
    <row r="17" spans="1:4" ht="25.5" x14ac:dyDescent="0.45">
      <c r="A17" s="4">
        <v>2</v>
      </c>
      <c r="B17" s="4" t="s">
        <v>144</v>
      </c>
      <c r="C17" s="4" t="s">
        <v>145</v>
      </c>
      <c r="D17" s="4" t="s">
        <v>146</v>
      </c>
    </row>
    <row r="18" spans="1:4" ht="25.5" x14ac:dyDescent="0.45">
      <c r="A18" s="4">
        <v>2</v>
      </c>
      <c r="B18" s="4" t="s">
        <v>147</v>
      </c>
      <c r="C18" s="4" t="s">
        <v>148</v>
      </c>
      <c r="D18" s="4" t="s">
        <v>149</v>
      </c>
    </row>
    <row r="19" spans="1:4" ht="25.5" x14ac:dyDescent="0.45">
      <c r="A19" s="4">
        <v>2</v>
      </c>
      <c r="B19" s="4" t="s">
        <v>150</v>
      </c>
      <c r="C19" s="4" t="s">
        <v>151</v>
      </c>
      <c r="D19" s="4" t="s">
        <v>152</v>
      </c>
    </row>
    <row r="20" spans="1:4" ht="25.5" x14ac:dyDescent="0.45">
      <c r="A20" s="4">
        <v>2</v>
      </c>
      <c r="B20" s="4" t="s">
        <v>153</v>
      </c>
      <c r="C20" s="4" t="s">
        <v>154</v>
      </c>
      <c r="D20" s="4" t="s">
        <v>155</v>
      </c>
    </row>
    <row r="21" spans="1:4" ht="38.25" x14ac:dyDescent="0.45">
      <c r="A21" s="4">
        <v>3</v>
      </c>
      <c r="B21" s="4" t="s">
        <v>156</v>
      </c>
      <c r="C21" s="4" t="s">
        <v>157</v>
      </c>
      <c r="D21" s="4" t="s">
        <v>158</v>
      </c>
    </row>
    <row r="22" spans="1:4" ht="25.5" x14ac:dyDescent="0.45">
      <c r="A22" s="4">
        <v>3</v>
      </c>
      <c r="B22" s="4" t="s">
        <v>159</v>
      </c>
      <c r="C22" s="4" t="s">
        <v>160</v>
      </c>
      <c r="D22" s="4" t="s">
        <v>161</v>
      </c>
    </row>
    <row r="23" spans="1:4" ht="25.5" x14ac:dyDescent="0.45">
      <c r="A23" s="4">
        <v>3</v>
      </c>
      <c r="B23" s="4" t="s">
        <v>162</v>
      </c>
      <c r="C23" s="4" t="s">
        <v>163</v>
      </c>
      <c r="D23" s="4" t="s">
        <v>164</v>
      </c>
    </row>
    <row r="24" spans="1:4" ht="25.5" x14ac:dyDescent="0.45">
      <c r="A24" s="4">
        <v>3</v>
      </c>
      <c r="B24" s="4" t="s">
        <v>165</v>
      </c>
      <c r="C24" s="4" t="s">
        <v>166</v>
      </c>
      <c r="D24" s="4" t="s">
        <v>167</v>
      </c>
    </row>
    <row r="25" spans="1:4" ht="38.25" x14ac:dyDescent="0.45">
      <c r="A25" s="4">
        <v>3</v>
      </c>
      <c r="B25" s="4" t="s">
        <v>168</v>
      </c>
      <c r="C25" s="4" t="s">
        <v>169</v>
      </c>
      <c r="D25" s="4" t="s">
        <v>170</v>
      </c>
    </row>
    <row r="26" spans="1:4" ht="38.25" x14ac:dyDescent="0.45">
      <c r="A26" s="4">
        <v>3</v>
      </c>
      <c r="B26" s="4" t="s">
        <v>171</v>
      </c>
      <c r="C26" s="4" t="s">
        <v>172</v>
      </c>
      <c r="D26" s="4" t="s">
        <v>173</v>
      </c>
    </row>
    <row r="27" spans="1:4" ht="38.25" x14ac:dyDescent="0.45">
      <c r="A27" s="4">
        <v>3</v>
      </c>
      <c r="B27" s="4" t="s">
        <v>174</v>
      </c>
      <c r="C27" s="4" t="s">
        <v>175</v>
      </c>
      <c r="D27" s="4" t="s">
        <v>176</v>
      </c>
    </row>
    <row r="28" spans="1:4" ht="25.5" x14ac:dyDescent="0.45">
      <c r="A28" s="4">
        <v>3</v>
      </c>
      <c r="B28" s="4" t="s">
        <v>177</v>
      </c>
      <c r="C28" s="4" t="s">
        <v>178</v>
      </c>
      <c r="D28" s="4" t="s">
        <v>179</v>
      </c>
    </row>
    <row r="29" spans="1:4" ht="38.25" x14ac:dyDescent="0.45">
      <c r="A29" s="4">
        <v>3</v>
      </c>
      <c r="B29" s="4" t="s">
        <v>180</v>
      </c>
      <c r="C29" s="4" t="s">
        <v>181</v>
      </c>
      <c r="D29" s="4" t="s">
        <v>182</v>
      </c>
    </row>
    <row r="30" spans="1:4" ht="38.25" x14ac:dyDescent="0.45">
      <c r="A30" s="4">
        <v>3</v>
      </c>
      <c r="B30" s="4" t="s">
        <v>183</v>
      </c>
      <c r="C30" s="4" t="s">
        <v>184</v>
      </c>
      <c r="D30" s="4" t="s">
        <v>185</v>
      </c>
    </row>
    <row r="31" spans="1:4" ht="38.25" x14ac:dyDescent="0.45">
      <c r="A31" s="4">
        <v>4</v>
      </c>
      <c r="B31" s="4" t="s">
        <v>186</v>
      </c>
      <c r="C31" s="4" t="s">
        <v>187</v>
      </c>
      <c r="D31" s="4" t="s">
        <v>188</v>
      </c>
    </row>
    <row r="32" spans="1:4" ht="38.25" x14ac:dyDescent="0.45">
      <c r="A32" s="4">
        <v>4</v>
      </c>
      <c r="B32" s="4" t="s">
        <v>189</v>
      </c>
      <c r="C32" s="4" t="s">
        <v>190</v>
      </c>
      <c r="D32" s="4" t="s">
        <v>191</v>
      </c>
    </row>
    <row r="33" spans="1:4" ht="38.25" x14ac:dyDescent="0.45">
      <c r="A33" s="4">
        <v>4</v>
      </c>
      <c r="B33" s="4" t="s">
        <v>192</v>
      </c>
      <c r="C33" s="4" t="s">
        <v>193</v>
      </c>
      <c r="D33" s="4" t="s">
        <v>194</v>
      </c>
    </row>
    <row r="34" spans="1:4" ht="38.25" x14ac:dyDescent="0.45">
      <c r="A34" s="4">
        <v>4</v>
      </c>
      <c r="B34" s="4" t="s">
        <v>195</v>
      </c>
      <c r="C34" s="4" t="s">
        <v>196</v>
      </c>
      <c r="D34" s="4" t="s">
        <v>197</v>
      </c>
    </row>
    <row r="35" spans="1:4" ht="38.25" x14ac:dyDescent="0.45">
      <c r="A35" s="4">
        <v>4</v>
      </c>
      <c r="B35" s="4" t="s">
        <v>198</v>
      </c>
      <c r="C35" s="4" t="s">
        <v>199</v>
      </c>
      <c r="D35" s="4" t="s">
        <v>200</v>
      </c>
    </row>
    <row r="36" spans="1:4" ht="38.25" x14ac:dyDescent="0.45">
      <c r="A36" s="4">
        <v>4</v>
      </c>
      <c r="B36" s="4" t="s">
        <v>201</v>
      </c>
      <c r="C36" s="4" t="s">
        <v>202</v>
      </c>
      <c r="D36" s="4" t="s">
        <v>203</v>
      </c>
    </row>
    <row r="37" spans="1:4" ht="38.25" x14ac:dyDescent="0.45">
      <c r="A37" s="4">
        <v>4</v>
      </c>
      <c r="B37" s="4" t="s">
        <v>204</v>
      </c>
      <c r="C37" s="4" t="s">
        <v>205</v>
      </c>
      <c r="D37" s="4" t="s">
        <v>206</v>
      </c>
    </row>
    <row r="38" spans="1:4" ht="25.5" x14ac:dyDescent="0.45">
      <c r="A38" s="4">
        <v>4</v>
      </c>
      <c r="B38" s="4" t="s">
        <v>207</v>
      </c>
      <c r="C38" s="4" t="s">
        <v>208</v>
      </c>
      <c r="D38" s="4" t="s">
        <v>209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topLeftCell="D1" zoomScaleNormal="100" workbookViewId="0"/>
  </sheetViews>
  <sheetFormatPr defaultColWidth="8.6640625" defaultRowHeight="14.25" x14ac:dyDescent="0.45"/>
  <cols>
    <col min="1" max="1" width="6" customWidth="1"/>
    <col min="2" max="2" width="12" customWidth="1"/>
    <col min="3" max="5" width="14" customWidth="1"/>
    <col min="6" max="6" width="38" customWidth="1"/>
    <col min="7" max="7" width="30" customWidth="1"/>
    <col min="8" max="8" width="32" customWidth="1"/>
    <col min="9" max="9" width="45" customWidth="1"/>
  </cols>
  <sheetData>
    <row r="1" spans="1:9" ht="30" customHeight="1" x14ac:dyDescent="0.45">
      <c r="A1" s="10" t="s">
        <v>210</v>
      </c>
      <c r="B1" s="10" t="s">
        <v>211</v>
      </c>
      <c r="C1" s="10" t="s">
        <v>212</v>
      </c>
      <c r="D1" s="10" t="s">
        <v>213</v>
      </c>
      <c r="E1" s="10" t="s">
        <v>214</v>
      </c>
      <c r="F1" s="10" t="s">
        <v>215</v>
      </c>
      <c r="G1" s="10" t="s">
        <v>216</v>
      </c>
      <c r="H1" s="10" t="s">
        <v>217</v>
      </c>
      <c r="I1" s="10" t="s">
        <v>218</v>
      </c>
    </row>
    <row r="2" spans="1:9" ht="25.5" x14ac:dyDescent="0.45">
      <c r="A2" s="4">
        <v>1</v>
      </c>
      <c r="B2" s="4" t="s">
        <v>219</v>
      </c>
      <c r="C2" s="8">
        <v>46055</v>
      </c>
      <c r="D2" s="8">
        <v>46067</v>
      </c>
      <c r="E2" s="4" t="s">
        <v>12</v>
      </c>
      <c r="F2" s="4" t="s">
        <v>220</v>
      </c>
      <c r="G2" s="5" t="s">
        <v>11</v>
      </c>
      <c r="H2" s="4" t="s">
        <v>221</v>
      </c>
      <c r="I2" s="4" t="s">
        <v>222</v>
      </c>
    </row>
    <row r="3" spans="1:9" ht="38.25" x14ac:dyDescent="0.45">
      <c r="A3" s="4">
        <v>2</v>
      </c>
      <c r="B3" s="4" t="s">
        <v>219</v>
      </c>
      <c r="C3" s="8">
        <v>46055</v>
      </c>
      <c r="D3" s="8">
        <v>46067</v>
      </c>
      <c r="E3" s="4" t="s">
        <v>12</v>
      </c>
      <c r="F3" s="4" t="s">
        <v>223</v>
      </c>
      <c r="G3" s="5" t="s">
        <v>224</v>
      </c>
      <c r="H3" s="4" t="s">
        <v>225</v>
      </c>
      <c r="I3" s="4" t="s">
        <v>226</v>
      </c>
    </row>
    <row r="4" spans="1:9" ht="25.5" x14ac:dyDescent="0.45">
      <c r="A4" s="4">
        <v>3</v>
      </c>
      <c r="B4" s="4" t="s">
        <v>227</v>
      </c>
      <c r="C4" s="8">
        <v>46069</v>
      </c>
      <c r="D4" s="8">
        <v>46080</v>
      </c>
      <c r="E4" s="4" t="s">
        <v>12</v>
      </c>
      <c r="F4" s="4" t="s">
        <v>228</v>
      </c>
      <c r="G4" s="5" t="s">
        <v>11</v>
      </c>
      <c r="H4" s="4" t="s">
        <v>229</v>
      </c>
      <c r="I4" s="4" t="s">
        <v>230</v>
      </c>
    </row>
    <row r="5" spans="1:9" ht="25.5" x14ac:dyDescent="0.45">
      <c r="A5" s="4">
        <v>4</v>
      </c>
      <c r="B5" s="4" t="s">
        <v>227</v>
      </c>
      <c r="C5" s="8">
        <v>46069</v>
      </c>
      <c r="D5" s="8">
        <v>46080</v>
      </c>
      <c r="E5" s="4" t="s">
        <v>12</v>
      </c>
      <c r="F5" s="4" t="s">
        <v>231</v>
      </c>
      <c r="G5" s="5" t="s">
        <v>232</v>
      </c>
      <c r="H5" s="4" t="s">
        <v>233</v>
      </c>
      <c r="I5" s="4" t="s">
        <v>234</v>
      </c>
    </row>
    <row r="6" spans="1:9" ht="38.25" x14ac:dyDescent="0.45">
      <c r="A6" s="4">
        <v>5</v>
      </c>
      <c r="B6" s="4" t="s">
        <v>227</v>
      </c>
      <c r="C6" s="8">
        <v>46069</v>
      </c>
      <c r="D6" s="8">
        <v>46080</v>
      </c>
      <c r="E6" s="4" t="s">
        <v>12</v>
      </c>
      <c r="F6" s="4" t="s">
        <v>235</v>
      </c>
      <c r="G6" s="5" t="s">
        <v>236</v>
      </c>
      <c r="H6" s="4" t="s">
        <v>237</v>
      </c>
      <c r="I6" s="4" t="s">
        <v>238</v>
      </c>
    </row>
    <row r="7" spans="1:9" ht="38.25" x14ac:dyDescent="0.45">
      <c r="A7" s="4">
        <v>6</v>
      </c>
      <c r="B7" s="4" t="s">
        <v>239</v>
      </c>
      <c r="C7" s="8">
        <v>46083</v>
      </c>
      <c r="D7" s="8">
        <v>46094</v>
      </c>
      <c r="E7" s="4" t="s">
        <v>12</v>
      </c>
      <c r="F7" s="4" t="s">
        <v>240</v>
      </c>
      <c r="G7" s="5" t="s">
        <v>241</v>
      </c>
      <c r="H7" s="4" t="s">
        <v>242</v>
      </c>
      <c r="I7" s="4" t="s">
        <v>243</v>
      </c>
    </row>
    <row r="8" spans="1:9" ht="38.25" x14ac:dyDescent="0.45">
      <c r="A8" s="4">
        <v>7</v>
      </c>
      <c r="B8" s="4" t="s">
        <v>239</v>
      </c>
      <c r="C8" s="8">
        <v>46083</v>
      </c>
      <c r="D8" s="8">
        <v>46094</v>
      </c>
      <c r="E8" s="4" t="s">
        <v>12</v>
      </c>
      <c r="F8" s="4" t="s">
        <v>244</v>
      </c>
      <c r="G8" s="5" t="s">
        <v>245</v>
      </c>
      <c r="H8" s="4" t="s">
        <v>246</v>
      </c>
      <c r="I8" s="4" t="s">
        <v>247</v>
      </c>
    </row>
    <row r="9" spans="1:9" ht="38.25" x14ac:dyDescent="0.45">
      <c r="A9" s="4">
        <v>8</v>
      </c>
      <c r="B9" s="4" t="s">
        <v>248</v>
      </c>
      <c r="C9" s="8">
        <v>46097</v>
      </c>
      <c r="D9" s="8">
        <v>46106</v>
      </c>
      <c r="E9" s="4" t="s">
        <v>12</v>
      </c>
      <c r="F9" s="4" t="s">
        <v>249</v>
      </c>
      <c r="G9" s="5" t="s">
        <v>250</v>
      </c>
      <c r="H9" s="4" t="s">
        <v>251</v>
      </c>
      <c r="I9" s="4" t="s">
        <v>252</v>
      </c>
    </row>
    <row r="10" spans="1:9" ht="25.5" x14ac:dyDescent="0.45">
      <c r="A10" s="4">
        <v>9</v>
      </c>
      <c r="B10" s="4" t="s">
        <v>248</v>
      </c>
      <c r="C10" s="8">
        <v>46097</v>
      </c>
      <c r="D10" s="8">
        <v>46106</v>
      </c>
      <c r="E10" s="4" t="s">
        <v>12</v>
      </c>
      <c r="F10" s="4" t="s">
        <v>253</v>
      </c>
      <c r="G10" s="5" t="s">
        <v>11</v>
      </c>
      <c r="H10" s="4" t="s">
        <v>254</v>
      </c>
      <c r="I10" s="4" t="s">
        <v>255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~ harctik</cp:lastModifiedBy>
  <cp:revision>0</cp:revision>
  <dcterms:created xsi:type="dcterms:W3CDTF">2026-04-01T07:42:26Z</dcterms:created>
  <dcterms:modified xsi:type="dcterms:W3CDTF">2026-04-01T07:47:58Z</dcterms:modified>
  <dc:language>en-US</dc:language>
</cp:coreProperties>
</file>